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1F43579-B30B-445F-ADF1-1F2C24FBE5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" sheetId="1" r:id="rId1"/>
    <sheet name="Ringkasan" sheetId="2" r:id="rId2"/>
  </sheets>
  <definedNames>
    <definedName name="_xlnm._FilterDatabase" localSheetId="0" hidden="1">'Test Case'!$A$4:$K$14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8" i="2" s="1"/>
  <c r="B9" i="2" s="1"/>
</calcChain>
</file>

<file path=xl/sharedStrings.xml><?xml version="1.0" encoding="utf-8"?>
<sst xmlns="http://schemas.openxmlformats.org/spreadsheetml/2006/main" count="100" uniqueCount="78">
  <si>
    <t>Test Case ID</t>
  </si>
  <si>
    <t>Test Scenario</t>
  </si>
  <si>
    <t>Precondition</t>
  </si>
  <si>
    <t>Test Steps</t>
  </si>
  <si>
    <t>Test Data</t>
  </si>
  <si>
    <t>Expected Result</t>
  </si>
  <si>
    <t>Priority</t>
  </si>
  <si>
    <t>Actual Result</t>
  </si>
  <si>
    <t>Status</t>
  </si>
  <si>
    <t>Tester</t>
  </si>
  <si>
    <t>Tanggal</t>
  </si>
  <si>
    <t>TC-001</t>
  </si>
  <si>
    <t>Organizer mengirim event</t>
  </si>
  <si>
    <t>Organizer sudah terdaftar</t>
  </si>
  <si>
    <t>1. Login sebagai Organizer
2. Klik Buat Event
3. Isi semua data event
4. Klik Submit</t>
  </si>
  <si>
    <t>Judul: Seminar AI Nasional
Tanggal: 20-12-2026
Lokasi: Aula Utama
Kuota: 100
Deskripsi: terisi</t>
  </si>
  <si>
    <t>Event berhasil dibuat dan berstatus Pending</t>
  </si>
  <si>
    <t>High</t>
  </si>
  <si>
    <t>Not Run</t>
  </si>
  <si>
    <t>TC-002</t>
  </si>
  <si>
    <t>Admin melihat daftar event Pending</t>
  </si>
  <si>
    <t>Ada event berstatus Pending; Admin sudah terdaftar</t>
  </si>
  <si>
    <t>1. Login sebagai Admin
2. Buka menu Moderasi Event</t>
  </si>
  <si>
    <t>Event Pending: Seminar AI Nasional</t>
  </si>
  <si>
    <t>Event yang menunggu moderasi tampil di daftar</t>
  </si>
  <si>
    <t>TC-003</t>
  </si>
  <si>
    <t>Admin memeriksa detail event</t>
  </si>
  <si>
    <t>Ada event berstatus Pending</t>
  </si>
  <si>
    <t>1. Login sebagai Admin
2. Buka menu Moderasi Event
3. Pilih event Pending</t>
  </si>
  <si>
    <t>Detail event: Seminar AI Nasional</t>
  </si>
  <si>
    <t>Seluruh data event dapat dilihat Admin sebelum mengambil keputusan</t>
  </si>
  <si>
    <t>TC-004</t>
  </si>
  <si>
    <t>Admin menyetujui event</t>
  </si>
  <si>
    <t>Event Pending dengan data valid</t>
  </si>
  <si>
    <t>1. Login sebagai Admin
2. Buka detail event Pending
3. Klik Approve</t>
  </si>
  <si>
    <t>Event dengan data valid</t>
  </si>
  <si>
    <t>Status berubah menjadi Approved dan event tampil di halaman pengguna</t>
  </si>
  <si>
    <t>TC-005</t>
  </si>
  <si>
    <t>Admin menolak event</t>
  </si>
  <si>
    <t>Event Pending dengan data tidak valid</t>
  </si>
  <si>
    <t>1. Login sebagai Admin
2. Buka detail event Pending
3. Klik Reject</t>
  </si>
  <si>
    <t>Event tidak valid (tanggal sudah lewat: 01-01-2020)</t>
  </si>
  <si>
    <t>Status berubah menjadi Rejected dan event tidak ditampilkan</t>
  </si>
  <si>
    <t>TC-006</t>
  </si>
  <si>
    <t>User melihat event Approved</t>
  </si>
  <si>
    <t>Ada event berstatus Approved</t>
  </si>
  <si>
    <t>1. Login sebagai User
2. Buka daftar event</t>
  </si>
  <si>
    <t>Event Approved: Seminar AI Nasional</t>
  </si>
  <si>
    <t>Event yang disetujui dapat dilihat User</t>
  </si>
  <si>
    <t>TC-007</t>
  </si>
  <si>
    <t>User tidak melihat event Rejected</t>
  </si>
  <si>
    <t>Ada event berstatus Rejected</t>
  </si>
  <si>
    <t>Event Rejected</t>
  </si>
  <si>
    <t>Event yang ditolak tidak muncul di daftar event</t>
  </si>
  <si>
    <t>TC-008</t>
  </si>
  <si>
    <t>Organizer submit event dengan data tidak lengkap</t>
  </si>
  <si>
    <t>Organizer sudah login</t>
  </si>
  <si>
    <t>1. Klik Buat Event
2. Kosongkan kolom Judul dan Lokasi
3. Klik Submit</t>
  </si>
  <si>
    <t>Judul: (kosong)
Lokasi: (kosong)</t>
  </si>
  <si>
    <t>Submit gagal dan muncul pesan validasi; event tidak masuk status Pending</t>
  </si>
  <si>
    <t>Medium</t>
  </si>
  <si>
    <t>TC-009</t>
  </si>
  <si>
    <t>User tidak melihat event berstatus Pending</t>
  </si>
  <si>
    <t>Event Pending</t>
  </si>
  <si>
    <t>Event yang belum dimoderasi tidak muncul di halaman pengguna</t>
  </si>
  <si>
    <t>TC-010</t>
  </si>
  <si>
    <t>Non-Admin mengakses halaman Moderasi Event</t>
  </si>
  <si>
    <t>Login sebagai Organizer atau User</t>
  </si>
  <si>
    <t>1. Login sebagai Organizer
2. Akses URL halaman Moderasi Event secara langsung</t>
  </si>
  <si>
    <t>Akun Organizer</t>
  </si>
  <si>
    <t>Akses ditolak dan halaman Moderasi Event tidak ditampilkan</t>
  </si>
  <si>
    <t>RINGKASAN HASIL PENGUJIAN</t>
  </si>
  <si>
    <t>Jumlah</t>
  </si>
  <si>
    <t>Pass</t>
  </si>
  <si>
    <t>Fail</t>
  </si>
  <si>
    <t>Blocked</t>
  </si>
  <si>
    <t>Total</t>
  </si>
  <si>
    <t>Persentase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</si>
</sst>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pane xSplit="2" ySplit="4" topLeftCell="C13" activePane="bottomRight" state="frozen"/>
      <selection pane="topRight" activeCell="C1" sqref="C1"/>
      <selection pane="bottomLeft" activeCell="A5" sqref="A5"/>
      <selection pane="bottomRight" activeCell="E4" sqref="E4"/>
    </sheetView>
  </sheetViews>
  <sheetFormatPr defaultColWidth="8.6640625" defaultRowHeight="14.4" x14ac:dyDescent="0.3"/>
  <cols>
    <col min="1" max="1" width="12" customWidth="1"/>
    <col min="2" max="2" width="32" customWidth="1"/>
    <col min="3" max="3" width="30" customWidth="1"/>
    <col min="4" max="4" width="40" customWidth="1"/>
    <col min="5" max="5" width="36" customWidth="1"/>
    <col min="6" max="6" width="42" customWidth="1"/>
    <col min="7" max="7" width="10" customWidth="1"/>
    <col min="8" max="8" width="28" customWidth="1"/>
    <col min="9" max="9" width="12" customWidth="1"/>
    <col min="10" max="10" width="14" customWidth="1"/>
    <col min="11" max="11" width="13" customWidth="1"/>
  </cols>
  <sheetData>
    <row r="1" spans="1:11" ht="17.399999999999999" x14ac:dyDescent="0.3">
      <c r="A1" s="1"/>
    </row>
    <row r="2" spans="1:11" x14ac:dyDescent="0.3">
      <c r="A2" s="2"/>
    </row>
    <row r="4" spans="1:11" ht="27.75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78" customHeight="1" x14ac:dyDescent="0.3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4" t="s">
        <v>17</v>
      </c>
      <c r="H5" s="5"/>
      <c r="I5" s="4" t="s">
        <v>18</v>
      </c>
      <c r="J5" s="5"/>
      <c r="K5" s="5"/>
    </row>
    <row r="6" spans="1:11" ht="78" customHeight="1" x14ac:dyDescent="0.3">
      <c r="A6" s="4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4" t="s">
        <v>17</v>
      </c>
      <c r="H6" s="5"/>
      <c r="I6" s="4" t="s">
        <v>18</v>
      </c>
      <c r="J6" s="5"/>
      <c r="K6" s="5"/>
    </row>
    <row r="7" spans="1:11" ht="78" customHeight="1" x14ac:dyDescent="0.3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4" t="s">
        <v>17</v>
      </c>
      <c r="H7" s="5"/>
      <c r="I7" s="4" t="s">
        <v>18</v>
      </c>
      <c r="J7" s="5"/>
      <c r="K7" s="5"/>
    </row>
    <row r="8" spans="1:11" ht="78" customHeight="1" x14ac:dyDescent="0.3">
      <c r="A8" s="4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4" t="s">
        <v>17</v>
      </c>
      <c r="H8" s="5"/>
      <c r="I8" s="4" t="s">
        <v>18</v>
      </c>
      <c r="J8" s="5"/>
      <c r="K8" s="5"/>
    </row>
    <row r="9" spans="1:11" ht="78" customHeight="1" x14ac:dyDescent="0.3">
      <c r="A9" s="4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4" t="s">
        <v>17</v>
      </c>
      <c r="H9" s="5"/>
      <c r="I9" s="4" t="s">
        <v>18</v>
      </c>
      <c r="J9" s="5"/>
      <c r="K9" s="5"/>
    </row>
    <row r="10" spans="1:11" ht="78" customHeight="1" x14ac:dyDescent="0.3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4" t="s">
        <v>17</v>
      </c>
      <c r="H10" s="5"/>
      <c r="I10" s="4" t="s">
        <v>18</v>
      </c>
      <c r="J10" s="5"/>
      <c r="K10" s="5"/>
    </row>
    <row r="11" spans="1:11" ht="78" customHeight="1" x14ac:dyDescent="0.3">
      <c r="A11" s="4" t="s">
        <v>49</v>
      </c>
      <c r="B11" s="5" t="s">
        <v>50</v>
      </c>
      <c r="C11" s="5" t="s">
        <v>51</v>
      </c>
      <c r="D11" s="5" t="s">
        <v>46</v>
      </c>
      <c r="E11" s="5" t="s">
        <v>52</v>
      </c>
      <c r="F11" s="5" t="s">
        <v>53</v>
      </c>
      <c r="G11" s="4" t="s">
        <v>17</v>
      </c>
      <c r="H11" s="5"/>
      <c r="I11" s="4" t="s">
        <v>18</v>
      </c>
      <c r="J11" s="5"/>
      <c r="K11" s="5"/>
    </row>
    <row r="12" spans="1:11" ht="78" customHeight="1" x14ac:dyDescent="0.3">
      <c r="A12" s="4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  <c r="G12" s="4" t="s">
        <v>60</v>
      </c>
      <c r="H12" s="5"/>
      <c r="I12" s="4" t="s">
        <v>18</v>
      </c>
      <c r="J12" s="5"/>
      <c r="K12" s="5"/>
    </row>
    <row r="13" spans="1:11" ht="78" customHeight="1" x14ac:dyDescent="0.3">
      <c r="A13" s="4" t="s">
        <v>61</v>
      </c>
      <c r="B13" s="5" t="s">
        <v>62</v>
      </c>
      <c r="C13" s="5" t="s">
        <v>27</v>
      </c>
      <c r="D13" s="5" t="s">
        <v>46</v>
      </c>
      <c r="E13" s="5" t="s">
        <v>63</v>
      </c>
      <c r="F13" s="5" t="s">
        <v>64</v>
      </c>
      <c r="G13" s="4" t="s">
        <v>17</v>
      </c>
      <c r="H13" s="5"/>
      <c r="I13" s="4" t="s">
        <v>18</v>
      </c>
      <c r="J13" s="5"/>
      <c r="K13" s="5"/>
    </row>
    <row r="14" spans="1:11" ht="78" customHeight="1" x14ac:dyDescent="0.3">
      <c r="A14" s="4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 t="s">
        <v>70</v>
      </c>
      <c r="G14" s="4" t="s">
        <v>17</v>
      </c>
      <c r="H14" s="5"/>
      <c r="I14" s="4" t="s">
        <v>18</v>
      </c>
      <c r="J14" s="5"/>
      <c r="K14" s="5"/>
    </row>
  </sheetData>
  <autoFilter ref="A4:K14" xr:uid="{00000000-0009-0000-0000-000000000000}"/>
  <conditionalFormatting sqref="I5:I14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2">
    <dataValidation type="list" sqref="I5:I14" xr:uid="{00000000-0002-0000-0000-000000000000}">
      <formula1>"Not Run,Pass,Fail,Blocked"</formula1>
      <formula2>0</formula2>
    </dataValidation>
    <dataValidation type="list" sqref="G5:G14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2" customWidth="1"/>
  </cols>
  <sheetData>
    <row r="1" spans="1:2" ht="17.399999999999999" x14ac:dyDescent="0.3">
      <c r="A1" s="1" t="s">
        <v>71</v>
      </c>
    </row>
    <row r="3" spans="1:2" x14ac:dyDescent="0.3">
      <c r="A3" s="6" t="s">
        <v>8</v>
      </c>
      <c r="B3" s="6" t="s">
        <v>72</v>
      </c>
    </row>
    <row r="4" spans="1:2" x14ac:dyDescent="0.3">
      <c r="A4" s="7" t="s">
        <v>18</v>
      </c>
      <c r="B4" s="8">
        <f>COUNTIF('Test Case'!$I$5:$I$14,A4)</f>
        <v>10</v>
      </c>
    </row>
    <row r="5" spans="1:2" x14ac:dyDescent="0.3">
      <c r="A5" s="7" t="s">
        <v>73</v>
      </c>
      <c r="B5" s="8">
        <f>COUNTIF('Test Case'!$I$5:$I$14,A5)</f>
        <v>0</v>
      </c>
    </row>
    <row r="6" spans="1:2" x14ac:dyDescent="0.3">
      <c r="A6" s="7" t="s">
        <v>74</v>
      </c>
      <c r="B6" s="8">
        <f>COUNTIF('Test Case'!$I$5:$I$14,A6)</f>
        <v>0</v>
      </c>
    </row>
    <row r="7" spans="1:2" x14ac:dyDescent="0.3">
      <c r="A7" s="7" t="s">
        <v>75</v>
      </c>
      <c r="B7" s="8">
        <f>COUNTIF('Test Case'!$I$5:$I$14,A7)</f>
        <v>0</v>
      </c>
    </row>
    <row r="8" spans="1:2" x14ac:dyDescent="0.3">
      <c r="A8" s="9" t="s">
        <v>76</v>
      </c>
      <c r="B8" s="10">
        <f>SUM(B4:B7)</f>
        <v>10</v>
      </c>
    </row>
    <row r="9" spans="1:2" x14ac:dyDescent="0.3">
      <c r="A9" s="9" t="s">
        <v>77</v>
      </c>
      <c r="B9" s="11">
        <f>IF(B8=0,0,B5/B8)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 XIZ</cp:lastModifiedBy>
  <cp:revision>0</cp:revision>
  <dcterms:created xsi:type="dcterms:W3CDTF">2026-10-05T07:28:12Z</dcterms:created>
  <dcterms:modified xsi:type="dcterms:W3CDTF">2026-10-05T07:35:33Z</dcterms:modified>
  <dc:language>en-US</dc:language>
</cp:coreProperties>
</file>