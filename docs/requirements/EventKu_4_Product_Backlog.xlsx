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Ringkasan" sheetId="2" state="visible" r:id="rId4"/>
  </sheets>
  <definedNames>
    <definedName function="false" hidden="true" localSheetId="0" name="_xlnm._FilterDatabase" vbProcedure="false">'Product Backlog'!$A$4:$J$50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<sst xmlns="http://schemas.openxmlformats.org/spreadsheetml/2006/main" count="464" uniqueCount="232">
  <si>
    <t xml:space="preserve">EventKu – Product Backlog v1 (Minggu 2) – Kelompok IV</t>
  </si>
  <si>
    <t xml:space="preserve">Prioritas memakai MoSCoW. Story Points memakai skala Fibonacci (estimasi awal, direvisi saat Sprint Planning Minggu 9). Kolom Prioritas, Story Points, Target Sprint, dan Status dapat diubah.</t>
  </si>
  <si>
    <t xml:space="preserve">ID</t>
  </si>
  <si>
    <t xml:space="preserve">Epic</t>
  </si>
  <si>
    <t xml:space="preserve">User Story</t>
  </si>
  <si>
    <t xml:space="preserve">Prioritas (MoSCoW)</t>
  </si>
  <si>
    <t xml:space="preserve">Story Points</t>
  </si>
  <si>
    <t xml:space="preserve">Target Sprint</t>
  </si>
  <si>
    <t xml:space="preserve">Kriteria Penerimaan</t>
  </si>
  <si>
    <t xml:space="preserve">Kebutuhan (SRS)</t>
  </si>
  <si>
    <t xml:space="preserve">PIC Utama</t>
  </si>
  <si>
    <t xml:space="preserve">Status</t>
  </si>
  <si>
    <t xml:space="preserve">US-01</t>
  </si>
  <si>
    <t xml:space="preserve">Autentikasi</t>
  </si>
  <si>
    <t xml:space="preserve">Sebagai calon pengguna, saya ingin mendaftar akun sebagai mahasiswa atau penyelenggara agar dapat memakai fitur EventKu.</t>
  </si>
  <si>
    <t xml:space="preserve">Must</t>
  </si>
  <si>
    <t xml:space="preserve">Sprint 1</t>
  </si>
  <si>
    <t xml:space="preserve">Registrasi sukses dengan email unik dan kata sandi &gt;= 8 karakter; email duplikat ditolak dengan pesan jelas.</t>
  </si>
  <si>
    <t xml:space="preserve">FR-AUTH-01, 02</t>
  </si>
  <si>
    <t xml:space="preserve">Audrey, Bambang</t>
  </si>
  <si>
    <t xml:space="preserve">To Do</t>
  </si>
  <si>
    <t xml:space="preserve">US-02</t>
  </si>
  <si>
    <t xml:space="preserve">Sebagai pengguna terdaftar, saya ingin login dan logout agar akun saya aman.</t>
  </si>
  <si>
    <t xml:space="preserve">Login valid mengembalikan token; kredensial salah ditolak; logout menghapus sesi.</t>
  </si>
  <si>
    <t xml:space="preserve">FR-AUTH-03</t>
  </si>
  <si>
    <t xml:space="preserve">US-03</t>
  </si>
  <si>
    <t xml:space="preserve">Sebagai sistem, saya ingin membatasi akses fitur berdasarkan peran agar data tiap peran terlindungi.</t>
  </si>
  <si>
    <t xml:space="preserve">Endpoint khusus peran mengembalikan 403 untuk peran lain; menu UI menyesuaikan peran.</t>
  </si>
  <si>
    <t xml:space="preserve">FR-AUTH-04</t>
  </si>
  <si>
    <t xml:space="preserve">Audrey</t>
  </si>
  <si>
    <t xml:space="preserve">US-04</t>
  </si>
  <si>
    <t xml:space="preserve">Sebagai admin, saya ingin memverifikasi akun penyelenggara agar hanya organisasi sah yang dapat mengajukan event.</t>
  </si>
  <si>
    <t xml:space="preserve">Penyelenggara belum terverifikasi tidak dapat mengajukan event; admin dapat memverifikasi/menolak.</t>
  </si>
  <si>
    <t xml:space="preserve">FR-AUTH-05</t>
  </si>
  <si>
    <t xml:space="preserve">US-05</t>
  </si>
  <si>
    <t xml:space="preserve">Sebagai pengguna, saya ingin mengubah profil dan kata sandi agar data saya tetap mutakhir.</t>
  </si>
  <si>
    <t xml:space="preserve">Should</t>
  </si>
  <si>
    <t xml:space="preserve">Buffer / Backlog</t>
  </si>
  <si>
    <t xml:space="preserve">Perubahan profil tersimpan; ganti kata sandi memerlukan kata sandi lama.</t>
  </si>
  <si>
    <t xml:space="preserve">FR-AUTH-06</t>
  </si>
  <si>
    <t xml:space="preserve">US-06</t>
  </si>
  <si>
    <t xml:space="preserve">Sebagai pengguna, saya ingin mereset kata sandi lewat email agar dapat masuk kembali bila lupa.</t>
  </si>
  <si>
    <t xml:space="preserve">Tautan reset terkirim dan kedaluwarsa dalam waktu terbatas.</t>
  </si>
  <si>
    <t xml:space="preserve">FR-AUTH-07</t>
  </si>
  <si>
    <t xml:space="preserve">US-07</t>
  </si>
  <si>
    <t xml:space="preserve">Event</t>
  </si>
  <si>
    <t xml:space="preserve">Sebagai penyelenggara, saya ingin mengajukan event (judul, deskripsi, kategori, waktu, lokasi/tautan, poster, kuota) agar event saya dapat dipublikasikan.</t>
  </si>
  <si>
    <t xml:space="preserve">Sprint 2</t>
  </si>
  <si>
    <t xml:space="preserve">Event tersimpan berstatus Menunggu Moderasi; muncul di antrean admin.</t>
  </si>
  <si>
    <t xml:space="preserve">FR-EVT-01, 04</t>
  </si>
  <si>
    <t xml:space="preserve">US-08</t>
  </si>
  <si>
    <t xml:space="preserve">Sebagai penyelenggara, saya ingin menyimpan draft, mengedit, dan membatalkan event milik saya agar dapat mengelola event.</t>
  </si>
  <si>
    <t xml:space="preserve">Hanya pemilik yang dapat mengubah; status mengikuti aturan transisi.</t>
  </si>
  <si>
    <t xml:space="preserve">FR-EVT-03, 04, 05</t>
  </si>
  <si>
    <t xml:space="preserve">US-09</t>
  </si>
  <si>
    <t xml:space="preserve">Sebagai sistem, saya ingin memvalidasi data event dan poster agar data yang tayang berkualitas.</t>
  </si>
  <si>
    <t xml:space="preserve">Tanggal lampau, kuota &lt;= 0, dan poster di luar batas tipe/ukuran ditolak.</t>
  </si>
  <si>
    <t xml:space="preserve">FR-EVT-02</t>
  </si>
  <si>
    <t xml:space="preserve">US-10</t>
  </si>
  <si>
    <t xml:space="preserve">Moderasi</t>
  </si>
  <si>
    <t xml:space="preserve">Sebagai admin, saya ingin meninjau antrean dan menyetujui/menolak event (dengan alasan) agar hanya event layak yang tayang.</t>
  </si>
  <si>
    <t xml:space="preserve">Event disetujui tampil publik; penolakan wajib alasan. (Catatan: UI admin belum terjadwal di rincian mingguan.)</t>
  </si>
  <si>
    <t xml:space="preserve">FR-MOD-01, 02, 03</t>
  </si>
  <si>
    <t xml:space="preserve">US-11</t>
  </si>
  <si>
    <t xml:space="preserve">Sebagai penyelenggara, saya ingin diberi tahu hasil moderasi agar tahu status event saya.</t>
  </si>
  <si>
    <t xml:space="preserve">Sprint 3</t>
  </si>
  <si>
    <t xml:space="preserve">Notifikasi in-app muncul setelah keputusan admin, memuat alasan bila ditolak.</t>
  </si>
  <si>
    <t xml:space="preserve">FR-MOD-04</t>
  </si>
  <si>
    <t xml:space="preserve">US-12</t>
  </si>
  <si>
    <t xml:space="preserve">Sebagai admin, saya ingin riwayat moderasi tercatat agar keputusan dapat ditelusuri.</t>
  </si>
  <si>
    <t xml:space="preserve">Setiap keputusan menyimpan admin, waktu, keputusan, alasan.</t>
  </si>
  <si>
    <t xml:space="preserve">FR-MOD-06</t>
  </si>
  <si>
    <t xml:space="preserve">US-13</t>
  </si>
  <si>
    <t xml:space="preserve">Sebagai admin, saya ingin menurunkan event yang sudah tayang bila melanggar ketentuan.</t>
  </si>
  <si>
    <t xml:space="preserve">Event berstatus Dibatalkan/ditarik tidak tampil di daftar dan kalender.</t>
  </si>
  <si>
    <t xml:space="preserve">FR-MOD-05</t>
  </si>
  <si>
    <t xml:space="preserve">US-14</t>
  </si>
  <si>
    <t xml:space="preserve">Sebagai sistem, saya ingin mengubah status event menjadi Selesai otomatis setelah waktunya lewat.</t>
  </si>
  <si>
    <t xml:space="preserve">Event lewat waktu berstatus Selesai dan tidak dapat didaftari.</t>
  </si>
  <si>
    <t xml:space="preserve">FR-EVT-07</t>
  </si>
  <si>
    <t xml:space="preserve">US-15</t>
  </si>
  <si>
    <t xml:space="preserve">Sebagai admin, saya ingin event yang diubah data pentingnya kembali dimoderasi agar informasi tetap akurat.</t>
  </si>
  <si>
    <t xml:space="preserve">Perubahan tanggal/lokasi mengembalikan status ke Menunggu Moderasi.</t>
  </si>
  <si>
    <t xml:space="preserve">FR-EVT-06</t>
  </si>
  <si>
    <t xml:space="preserve">US-16</t>
  </si>
  <si>
    <t xml:space="preserve">Pencarian</t>
  </si>
  <si>
    <t xml:space="preserve">Sebagai mahasiswa, saya ingin melihat daftar event yang akan datang agar mengetahui event terbaru.</t>
  </si>
  <si>
    <t xml:space="preserve">Hanya event Disetujui, terurut terdekat, dengan paginasi.</t>
  </si>
  <si>
    <t xml:space="preserve">FR-SRC-01</t>
  </si>
  <si>
    <t xml:space="preserve">Bambang, Audrey</t>
  </si>
  <si>
    <t xml:space="preserve">US-17</t>
  </si>
  <si>
    <t xml:space="preserve">Sebagai mahasiswa, saya ingin mencari event dengan kata kunci agar cepat menemukan yang saya cari.</t>
  </si>
  <si>
    <t xml:space="preserve">Pencarian pada judul dan deskripsi; hasil kosong menampilkan pesan.</t>
  </si>
  <si>
    <t xml:space="preserve">FR-SRC-02</t>
  </si>
  <si>
    <t xml:space="preserve">US-18</t>
  </si>
  <si>
    <t xml:space="preserve">Sebagai mahasiswa, saya ingin memfilter event berdasarkan kategori, tanggal, dan penyelenggara agar sesuai minat.</t>
  </si>
  <si>
    <t xml:space="preserve">Filter dapat dikombinasikan dan hasil sesuai.</t>
  </si>
  <si>
    <t xml:space="preserve">FR-SRC-03, 05</t>
  </si>
  <si>
    <t xml:space="preserve">US-19</t>
  </si>
  <si>
    <t xml:space="preserve">Sebagai pengunjung, saya ingin membuka detail event agar mendapat informasi lengkap sebelum mendaftar.</t>
  </si>
  <si>
    <t xml:space="preserve">Menampilkan poster, deskripsi, waktu, lokasi, sisa kuota, tombol daftar.</t>
  </si>
  <si>
    <t xml:space="preserve">FR-SRC-04</t>
  </si>
  <si>
    <t xml:space="preserve">Bambang</t>
  </si>
  <si>
    <t xml:space="preserve">US-20</t>
  </si>
  <si>
    <t xml:space="preserve">Pendaftaran</t>
  </si>
  <si>
    <t xml:space="preserve">Sebagai mahasiswa, saya ingin mendaftar (RSVP) pada event agar mendapat tempat.</t>
  </si>
  <si>
    <t xml:space="preserve">Pendaftaran tersimpan dan kuota berkurang; pengguna belum login diarahkan ke login.</t>
  </si>
  <si>
    <t xml:space="preserve">FR-RSV-01</t>
  </si>
  <si>
    <t xml:space="preserve">US-21</t>
  </si>
  <si>
    <t xml:space="preserve">Sebagai sistem, saya ingin menolak pendaftaran ganda dan melebihi kuota, termasuk saat bersamaan, agar data konsisten.</t>
  </si>
  <si>
    <t xml:space="preserve">Kuota tidak pernah terlampaui pada uji pendaftaran bersamaan; pendaftaran ganda ditolak.</t>
  </si>
  <si>
    <t xml:space="preserve">FR-RSV-02, 06</t>
  </si>
  <si>
    <t xml:space="preserve">Audrey, Alexa</t>
  </si>
  <si>
    <t xml:space="preserve">US-22</t>
  </si>
  <si>
    <t xml:space="preserve">Sebagai mahasiswa, saya ingin membatalkan pendaftaran agar kuota dapat dipakai orang lain.</t>
  </si>
  <si>
    <t xml:space="preserve">Pembatalan sebelum event mulai mengembalikan kuota.</t>
  </si>
  <si>
    <t xml:space="preserve">FR-RSV-03</t>
  </si>
  <si>
    <t xml:space="preserve">US-23</t>
  </si>
  <si>
    <t xml:space="preserve">Sebagai mahasiswa, saya ingin melihat riwayat event yang saya daftari.</t>
  </si>
  <si>
    <t xml:space="preserve">Daftar mendatang dan lampau tampil dengan status.</t>
  </si>
  <si>
    <t xml:space="preserve">FR-RSV-04</t>
  </si>
  <si>
    <t xml:space="preserve">US-24</t>
  </si>
  <si>
    <t xml:space="preserve">Sebagai mahasiswa, saya ingin konfirmasi setelah mendaftar agar yakin pendaftaran berhasil.</t>
  </si>
  <si>
    <t xml:space="preserve">Konfirmasi di layar dan notifikasi in-app.</t>
  </si>
  <si>
    <t xml:space="preserve">FR-RSV-05</t>
  </si>
  <si>
    <t xml:space="preserve">US-25</t>
  </si>
  <si>
    <t xml:space="preserve">Kalender</t>
  </si>
  <si>
    <t xml:space="preserve">Sebagai mahasiswa, saya ingin melihat kalender bulanan event agar mudah merencanakan jadwal.</t>
  </si>
  <si>
    <t xml:space="preserve">Hanya event Disetujui; navigasi bulan; klik membuka detail.</t>
  </si>
  <si>
    <t xml:space="preserve">FR-CAL-01, 02</t>
  </si>
  <si>
    <t xml:space="preserve">US-26</t>
  </si>
  <si>
    <t xml:space="preserve">Sebagai mahasiswa, saya ingin memfilter kalender per kategori.</t>
  </si>
  <si>
    <t xml:space="preserve">Kalender menyesuaikan kategori terpilih.</t>
  </si>
  <si>
    <t xml:space="preserve">FR-CAL-03</t>
  </si>
  <si>
    <t xml:space="preserve">US-27</t>
  </si>
  <si>
    <t xml:space="preserve">Sebagai mahasiswa, saya ingin event yang saya daftari ditandai di kalender.</t>
  </si>
  <si>
    <t xml:space="preserve">Could</t>
  </si>
  <si>
    <t xml:space="preserve">Penanda visual pada event terdaftar.</t>
  </si>
  <si>
    <t xml:space="preserve">FR-CAL-04</t>
  </si>
  <si>
    <t xml:space="preserve">US-28</t>
  </si>
  <si>
    <t xml:space="preserve">Notifikasi</t>
  </si>
  <si>
    <t xml:space="preserve">Sebagai mahasiswa, saya ingin memilih kategori minat agar notifikasi relevan.</t>
  </si>
  <si>
    <t xml:space="preserve">Minat tersimpan dan dapat diubah.</t>
  </si>
  <si>
    <t xml:space="preserve">FR-NTF-01</t>
  </si>
  <si>
    <t xml:space="preserve">US-29</t>
  </si>
  <si>
    <t xml:space="preserve">Sebagai mahasiswa, saya ingin diberi tahu saat ada event baru sesuai minat agar tidak terlewat.</t>
  </si>
  <si>
    <t xml:space="preserve">Event disetujui memicu notifikasi ke mahasiswa berminat (pola Observer).</t>
  </si>
  <si>
    <t xml:space="preserve">FR-NTF-02</t>
  </si>
  <si>
    <t xml:space="preserve">US-30</t>
  </si>
  <si>
    <t xml:space="preserve">Sebagai pengguna, saya ingin melihat daftar notifikasi dan menandainya terbaca.</t>
  </si>
  <si>
    <t xml:space="preserve">Daftar notifikasi, penanda belum dibaca, aksi tandai dibaca.</t>
  </si>
  <si>
    <t xml:space="preserve">FR-NTF-04</t>
  </si>
  <si>
    <t xml:space="preserve">US-31</t>
  </si>
  <si>
    <t xml:space="preserve">Sebagai mahasiswa, saya ingin pengingat H-1 untuk event yang saya daftari.</t>
  </si>
  <si>
    <t xml:space="preserve">Notifikasi terkirim satu hari sebelum event.</t>
  </si>
  <si>
    <t xml:space="preserve">FR-NTF-03</t>
  </si>
  <si>
    <t xml:space="preserve">US-32</t>
  </si>
  <si>
    <t xml:space="preserve">Sebagai mahasiswa, saya ingin notifikasi juga dikirim lewat email.</t>
  </si>
  <si>
    <t xml:space="preserve">Email terkirim sesuai preferensi.</t>
  </si>
  <si>
    <t xml:space="preserve">FR-NTF-05</t>
  </si>
  <si>
    <t xml:space="preserve">US-33</t>
  </si>
  <si>
    <t xml:space="preserve">Dashboard</t>
  </si>
  <si>
    <t xml:space="preserve">Sebagai penyelenggara, saya ingin melihat daftar event saya beserta status dan jumlah pendaftar.</t>
  </si>
  <si>
    <t xml:space="preserve">Hanya event milik organisasi sendiri.</t>
  </si>
  <si>
    <t xml:space="preserve">FR-DSH-01</t>
  </si>
  <si>
    <t xml:space="preserve">US-34</t>
  </si>
  <si>
    <t xml:space="preserve">Sebagai penyelenggara, saya ingin melihat daftar peserta tiap event agar dapat menyiapkan acara.</t>
  </si>
  <si>
    <t xml:space="preserve">Nama, email, waktu daftar tampil; akses terbatas pemilik.</t>
  </si>
  <si>
    <t xml:space="preserve">FR-DSH-02</t>
  </si>
  <si>
    <t xml:space="preserve">US-35</t>
  </si>
  <si>
    <t xml:space="preserve">Sebagai penyelenggara, saya ingin mengekspor data peserta ke CSV.</t>
  </si>
  <si>
    <t xml:space="preserve">File CSV terunduh dengan data sesuai.</t>
  </si>
  <si>
    <t xml:space="preserve">FR-DSH-04</t>
  </si>
  <si>
    <t xml:space="preserve">US-36</t>
  </si>
  <si>
    <t xml:space="preserve">Sebagai penyelenggara, saya ingin melihat statistik pendaftaran.</t>
  </si>
  <si>
    <t xml:space="preserve">Total pendaftar, persentase kuota, tren.</t>
  </si>
  <si>
    <t xml:space="preserve">FR-DSH-03</t>
  </si>
  <si>
    <t xml:space="preserve">US-37</t>
  </si>
  <si>
    <t xml:space="preserve">Administrasi</t>
  </si>
  <si>
    <t xml:space="preserve">Sebagai admin, saya ingin mengelola kategori event agar pengelompokan konsisten.</t>
  </si>
  <si>
    <t xml:space="preserve">Tambah, ubah, nonaktifkan kategori.</t>
  </si>
  <si>
    <t xml:space="preserve">FR-ADM-01</t>
  </si>
  <si>
    <t xml:space="preserve">US-38</t>
  </si>
  <si>
    <t xml:space="preserve">Sebagai admin, saya ingin mengelola organisasi penyelenggara dan statusnya.</t>
  </si>
  <si>
    <t xml:space="preserve">Organisasi dapat ditambah, diverifikasi, ditangguhkan.</t>
  </si>
  <si>
    <t xml:space="preserve">FR-ADM-02</t>
  </si>
  <si>
    <t xml:space="preserve">US-39</t>
  </si>
  <si>
    <t xml:space="preserve">Sebagai admin, saya ingin menonaktifkan akun yang melanggar ketentuan.</t>
  </si>
  <si>
    <t xml:space="preserve">Akun nonaktif tidak dapat login.</t>
  </si>
  <si>
    <t xml:space="preserve">FR-ADM-03</t>
  </si>
  <si>
    <t xml:space="preserve">US-40</t>
  </si>
  <si>
    <t xml:space="preserve">Sebagai admin, saya ingin melihat statistik platform.</t>
  </si>
  <si>
    <t xml:space="preserve">Jumlah pengguna, event per kategori/bulan, total pendaftaran.</t>
  </si>
  <si>
    <t xml:space="preserve">FR-ADM-04</t>
  </si>
  <si>
    <t xml:space="preserve">US-41</t>
  </si>
  <si>
    <t xml:space="preserve">Opsional</t>
  </si>
  <si>
    <t xml:space="preserve">Sebagai mahasiswa, saya ingin menyimpan event favorit (bookmark).</t>
  </si>
  <si>
    <t xml:space="preserve">Event dapat ditambah/dihapus dari favorit.</t>
  </si>
  <si>
    <t xml:space="preserve">FR-OPT-01</t>
  </si>
  <si>
    <t xml:space="preserve">US-42</t>
  </si>
  <si>
    <t xml:space="preserve">Sebagai mahasiswa, saya ingin memberi rating dan ulasan setelah event selesai.</t>
  </si>
  <si>
    <t xml:space="preserve">Hanya peserta event selesai; satu ulasan per peserta.</t>
  </si>
  <si>
    <t xml:space="preserve">FR-OPT-02</t>
  </si>
  <si>
    <t xml:space="preserve">US-43</t>
  </si>
  <si>
    <t xml:space="preserve">Non-Fungsional</t>
  </si>
  <si>
    <t xml:space="preserve">Sebagai pemilik sistem, saya ingin keamanan dasar (hash kata sandi, HTTPS, sanitasi input, rate limiting login) agar data pengguna terlindungi.</t>
  </si>
  <si>
    <t xml:space="preserve">Kata sandi ter-hash; input divalidasi; uji dasar injeksi/XSS lulus.</t>
  </si>
  <si>
    <t xml:space="preserve">NFR-SEC-01 s.d. 05</t>
  </si>
  <si>
    <t xml:space="preserve">US-44</t>
  </si>
  <si>
    <t xml:space="preserve">Sebagai pengguna, saya ingin daftar event termuat cepat agar nyaman dipakai.</t>
  </si>
  <si>
    <t xml:space="preserve">Paginasi dan indeks DB; halaman daftar &lt;= 3 detik pada uji dasar.</t>
  </si>
  <si>
    <t xml:space="preserve">NFR-PERF-01, 02; NFR-SCAL-03</t>
  </si>
  <si>
    <t xml:space="preserve">US-45</t>
  </si>
  <si>
    <t xml:space="preserve">Sebagai pengguna ponsel, saya ingin tampilan responsif agar mudah dipakai di layar kecil.</t>
  </si>
  <si>
    <t xml:space="preserve">Seluruh halaman utama dapat dipakai pada lebar 360 px.</t>
  </si>
  <si>
    <t xml:space="preserve">NFR-USA-01</t>
  </si>
  <si>
    <t xml:space="preserve">US-46</t>
  </si>
  <si>
    <t xml:space="preserve">Sebagai pemilik sistem, saya ingin pencadangan DB berkala di production.</t>
  </si>
  <si>
    <t xml:space="preserve">Backup otomatis harian terkonfigurasi.</t>
  </si>
  <si>
    <t xml:space="preserve">NFR-REL-02</t>
  </si>
  <si>
    <t xml:space="preserve">Alexa</t>
  </si>
  <si>
    <t xml:space="preserve">Ringkasan Product Backlog</t>
  </si>
  <si>
    <t xml:space="preserve">Prioritas</t>
  </si>
  <si>
    <t xml:space="preserve">Jumlah Story</t>
  </si>
  <si>
    <t xml:space="preserve">Total Story Points</t>
  </si>
  <si>
    <t xml:space="preserve">% dari Total Points</t>
  </si>
  <si>
    <t xml:space="preserve">Total</t>
  </si>
  <si>
    <t xml:space="preserve">Points Must</t>
  </si>
  <si>
    <t xml:space="preserve">Durasi (minggu)</t>
  </si>
  <si>
    <t xml:space="preserve">Points per Minggu</t>
  </si>
  <si>
    <t xml:space="preserve">-</t>
  </si>
  <si>
    <t xml:space="preserve">Catatan: Sprint 1 = Minggu 10–11, Sprint 2 = Minggu 12, Sprint 3 = Minggu 13 (sesuai rencana proyek). Angka Story Points adalah estimasi awal; kolom Points per Minggu membantu melihat ketimpangan beban antar-sprint.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</si>
</sst>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8A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E3"/>
      </left>
      <right style="thin">
        <color rgb="FFC9D1E3"/>
      </right>
      <top style="thin">
        <color rgb="FFC9D1E3"/>
      </top>
      <bottom style="thin">
        <color rgb="FFC9D1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6EAF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6EAF8"/>
      <rgbColor rgb="FF660066"/>
      <rgbColor rgb="FFFF8080"/>
      <rgbColor rgb="FF0066CC"/>
      <rgbColor rgb="FFC9D1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58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5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3.85" hidden="false" customHeight="false" outlineLevel="0" collapsed="false">
      <c r="A5" s="4" t="s">
        <v>12</v>
      </c>
      <c r="B5" s="5" t="s">
        <v>13</v>
      </c>
      <c r="C5" s="5" t="s">
        <v>14</v>
      </c>
      <c r="D5" s="6" t="s">
        <v>15</v>
      </c>
      <c r="E5" s="6" t="n">
        <v>3</v>
      </c>
      <c r="F5" s="6" t="s">
        <v>16</v>
      </c>
      <c r="G5" s="5" t="s">
        <v>17</v>
      </c>
      <c r="H5" s="5" t="s">
        <v>18</v>
      </c>
      <c r="I5" s="5" t="s">
        <v>19</v>
      </c>
      <c r="J5" s="6" t="s">
        <v>20</v>
      </c>
    </row>
    <row r="6" customFormat="false" ht="23.85" hidden="false" customHeight="false" outlineLevel="0" collapsed="false">
      <c r="A6" s="4" t="s">
        <v>21</v>
      </c>
      <c r="B6" s="5" t="s">
        <v>13</v>
      </c>
      <c r="C6" s="5" t="s">
        <v>22</v>
      </c>
      <c r="D6" s="6" t="s">
        <v>15</v>
      </c>
      <c r="E6" s="6" t="n">
        <v>3</v>
      </c>
      <c r="F6" s="6" t="s">
        <v>16</v>
      </c>
      <c r="G6" s="5" t="s">
        <v>23</v>
      </c>
      <c r="H6" s="5" t="s">
        <v>24</v>
      </c>
      <c r="I6" s="5" t="s">
        <v>19</v>
      </c>
      <c r="J6" s="6" t="s">
        <v>20</v>
      </c>
    </row>
    <row r="7" customFormat="false" ht="23.85" hidden="false" customHeight="false" outlineLevel="0" collapsed="false">
      <c r="A7" s="4" t="s">
        <v>25</v>
      </c>
      <c r="B7" s="5" t="s">
        <v>13</v>
      </c>
      <c r="C7" s="5" t="s">
        <v>26</v>
      </c>
      <c r="D7" s="6" t="s">
        <v>15</v>
      </c>
      <c r="E7" s="6" t="n">
        <v>5</v>
      </c>
      <c r="F7" s="6" t="s">
        <v>16</v>
      </c>
      <c r="G7" s="5" t="s">
        <v>27</v>
      </c>
      <c r="H7" s="5" t="s">
        <v>28</v>
      </c>
      <c r="I7" s="5" t="s">
        <v>29</v>
      </c>
      <c r="J7" s="6" t="s">
        <v>20</v>
      </c>
    </row>
    <row r="8" customFormat="false" ht="23.85" hidden="false" customHeight="false" outlineLevel="0" collapsed="false">
      <c r="A8" s="4" t="s">
        <v>30</v>
      </c>
      <c r="B8" s="5" t="s">
        <v>13</v>
      </c>
      <c r="C8" s="5" t="s">
        <v>31</v>
      </c>
      <c r="D8" s="6" t="s">
        <v>15</v>
      </c>
      <c r="E8" s="6" t="n">
        <v>3</v>
      </c>
      <c r="F8" s="6" t="s">
        <v>16</v>
      </c>
      <c r="G8" s="5" t="s">
        <v>32</v>
      </c>
      <c r="H8" s="5" t="s">
        <v>33</v>
      </c>
      <c r="I8" s="5" t="s">
        <v>29</v>
      </c>
      <c r="J8" s="6" t="s">
        <v>20</v>
      </c>
    </row>
    <row r="9" customFormat="false" ht="23.85" hidden="false" customHeight="false" outlineLevel="0" collapsed="false">
      <c r="A9" s="4" t="s">
        <v>34</v>
      </c>
      <c r="B9" s="5" t="s">
        <v>13</v>
      </c>
      <c r="C9" s="5" t="s">
        <v>35</v>
      </c>
      <c r="D9" s="6" t="s">
        <v>36</v>
      </c>
      <c r="E9" s="6" t="n">
        <v>2</v>
      </c>
      <c r="F9" s="6" t="s">
        <v>37</v>
      </c>
      <c r="G9" s="5" t="s">
        <v>38</v>
      </c>
      <c r="H9" s="5" t="s">
        <v>39</v>
      </c>
      <c r="I9" s="5" t="s">
        <v>29</v>
      </c>
      <c r="J9" s="6" t="s">
        <v>20</v>
      </c>
    </row>
    <row r="10" customFormat="false" ht="23.85" hidden="false" customHeight="false" outlineLevel="0" collapsed="false">
      <c r="A10" s="4" t="s">
        <v>40</v>
      </c>
      <c r="B10" s="5" t="s">
        <v>13</v>
      </c>
      <c r="C10" s="5" t="s">
        <v>41</v>
      </c>
      <c r="D10" s="6" t="s">
        <v>36</v>
      </c>
      <c r="E10" s="6" t="n">
        <v>3</v>
      </c>
      <c r="F10" s="6" t="s">
        <v>37</v>
      </c>
      <c r="G10" s="5" t="s">
        <v>42</v>
      </c>
      <c r="H10" s="5" t="s">
        <v>43</v>
      </c>
      <c r="I10" s="5" t="s">
        <v>29</v>
      </c>
      <c r="J10" s="6" t="s">
        <v>20</v>
      </c>
    </row>
    <row r="11" customFormat="false" ht="35.05" hidden="false" customHeight="false" outlineLevel="0" collapsed="false">
      <c r="A11" s="4" t="s">
        <v>44</v>
      </c>
      <c r="B11" s="5" t="s">
        <v>45</v>
      </c>
      <c r="C11" s="5" t="s">
        <v>46</v>
      </c>
      <c r="D11" s="6" t="s">
        <v>15</v>
      </c>
      <c r="E11" s="6" t="n">
        <v>5</v>
      </c>
      <c r="F11" s="6" t="s">
        <v>47</v>
      </c>
      <c r="G11" s="5" t="s">
        <v>48</v>
      </c>
      <c r="H11" s="5" t="s">
        <v>49</v>
      </c>
      <c r="I11" s="5" t="s">
        <v>19</v>
      </c>
      <c r="J11" s="6" t="s">
        <v>20</v>
      </c>
    </row>
    <row r="12" customFormat="false" ht="23.85" hidden="false" customHeight="false" outlineLevel="0" collapsed="false">
      <c r="A12" s="4" t="s">
        <v>50</v>
      </c>
      <c r="B12" s="5" t="s">
        <v>45</v>
      </c>
      <c r="C12" s="5" t="s">
        <v>51</v>
      </c>
      <c r="D12" s="6" t="s">
        <v>15</v>
      </c>
      <c r="E12" s="6" t="n">
        <v>5</v>
      </c>
      <c r="F12" s="6" t="s">
        <v>47</v>
      </c>
      <c r="G12" s="5" t="s">
        <v>52</v>
      </c>
      <c r="H12" s="5" t="s">
        <v>53</v>
      </c>
      <c r="I12" s="5" t="s">
        <v>19</v>
      </c>
      <c r="J12" s="6" t="s">
        <v>20</v>
      </c>
    </row>
    <row r="13" customFormat="false" ht="23.85" hidden="false" customHeight="false" outlineLevel="0" collapsed="false">
      <c r="A13" s="4" t="s">
        <v>54</v>
      </c>
      <c r="B13" s="5" t="s">
        <v>45</v>
      </c>
      <c r="C13" s="5" t="s">
        <v>55</v>
      </c>
      <c r="D13" s="6" t="s">
        <v>15</v>
      </c>
      <c r="E13" s="6" t="n">
        <v>3</v>
      </c>
      <c r="F13" s="6" t="s">
        <v>16</v>
      </c>
      <c r="G13" s="5" t="s">
        <v>56</v>
      </c>
      <c r="H13" s="5" t="s">
        <v>57</v>
      </c>
      <c r="I13" s="5" t="s">
        <v>29</v>
      </c>
      <c r="J13" s="6" t="s">
        <v>20</v>
      </c>
    </row>
    <row r="14" customFormat="false" ht="23.85" hidden="false" customHeight="false" outlineLevel="0" collapsed="false">
      <c r="A14" s="4" t="s">
        <v>58</v>
      </c>
      <c r="B14" s="5" t="s">
        <v>59</v>
      </c>
      <c r="C14" s="5" t="s">
        <v>60</v>
      </c>
      <c r="D14" s="6" t="s">
        <v>15</v>
      </c>
      <c r="E14" s="6" t="n">
        <v>5</v>
      </c>
      <c r="F14" s="6" t="s">
        <v>47</v>
      </c>
      <c r="G14" s="5" t="s">
        <v>61</v>
      </c>
      <c r="H14" s="5" t="s">
        <v>62</v>
      </c>
      <c r="I14" s="5" t="s">
        <v>19</v>
      </c>
      <c r="J14" s="6" t="s">
        <v>20</v>
      </c>
    </row>
    <row r="15" customFormat="false" ht="23.85" hidden="false" customHeight="false" outlineLevel="0" collapsed="false">
      <c r="A15" s="4" t="s">
        <v>63</v>
      </c>
      <c r="B15" s="5" t="s">
        <v>59</v>
      </c>
      <c r="C15" s="5" t="s">
        <v>64</v>
      </c>
      <c r="D15" s="6" t="s">
        <v>15</v>
      </c>
      <c r="E15" s="6" t="n">
        <v>3</v>
      </c>
      <c r="F15" s="6" t="s">
        <v>65</v>
      </c>
      <c r="G15" s="5" t="s">
        <v>66</v>
      </c>
      <c r="H15" s="5" t="s">
        <v>67</v>
      </c>
      <c r="I15" s="5" t="s">
        <v>29</v>
      </c>
      <c r="J15" s="6" t="s">
        <v>20</v>
      </c>
    </row>
    <row r="16" customFormat="false" ht="23.85" hidden="false" customHeight="false" outlineLevel="0" collapsed="false">
      <c r="A16" s="4" t="s">
        <v>68</v>
      </c>
      <c r="B16" s="5" t="s">
        <v>59</v>
      </c>
      <c r="C16" s="5" t="s">
        <v>69</v>
      </c>
      <c r="D16" s="6" t="s">
        <v>36</v>
      </c>
      <c r="E16" s="6" t="n">
        <v>2</v>
      </c>
      <c r="F16" s="6" t="s">
        <v>37</v>
      </c>
      <c r="G16" s="5" t="s">
        <v>70</v>
      </c>
      <c r="H16" s="5" t="s">
        <v>71</v>
      </c>
      <c r="I16" s="5" t="s">
        <v>29</v>
      </c>
      <c r="J16" s="6" t="s">
        <v>20</v>
      </c>
    </row>
    <row r="17" customFormat="false" ht="23.85" hidden="false" customHeight="false" outlineLevel="0" collapsed="false">
      <c r="A17" s="4" t="s">
        <v>72</v>
      </c>
      <c r="B17" s="5" t="s">
        <v>59</v>
      </c>
      <c r="C17" s="5" t="s">
        <v>73</v>
      </c>
      <c r="D17" s="6" t="s">
        <v>36</v>
      </c>
      <c r="E17" s="6" t="n">
        <v>2</v>
      </c>
      <c r="F17" s="6" t="s">
        <v>37</v>
      </c>
      <c r="G17" s="5" t="s">
        <v>74</v>
      </c>
      <c r="H17" s="5" t="s">
        <v>75</v>
      </c>
      <c r="I17" s="5" t="s">
        <v>29</v>
      </c>
      <c r="J17" s="6" t="s">
        <v>20</v>
      </c>
    </row>
    <row r="18" customFormat="false" ht="23.85" hidden="false" customHeight="false" outlineLevel="0" collapsed="false">
      <c r="A18" s="4" t="s">
        <v>76</v>
      </c>
      <c r="B18" s="5" t="s">
        <v>45</v>
      </c>
      <c r="C18" s="5" t="s">
        <v>77</v>
      </c>
      <c r="D18" s="6" t="s">
        <v>36</v>
      </c>
      <c r="E18" s="6" t="n">
        <v>2</v>
      </c>
      <c r="F18" s="6" t="s">
        <v>37</v>
      </c>
      <c r="G18" s="5" t="s">
        <v>78</v>
      </c>
      <c r="H18" s="5" t="s">
        <v>79</v>
      </c>
      <c r="I18" s="5" t="s">
        <v>29</v>
      </c>
      <c r="J18" s="6" t="s">
        <v>20</v>
      </c>
    </row>
    <row r="19" customFormat="false" ht="23.85" hidden="false" customHeight="false" outlineLevel="0" collapsed="false">
      <c r="A19" s="4" t="s">
        <v>80</v>
      </c>
      <c r="B19" s="5" t="s">
        <v>45</v>
      </c>
      <c r="C19" s="5" t="s">
        <v>81</v>
      </c>
      <c r="D19" s="6" t="s">
        <v>36</v>
      </c>
      <c r="E19" s="6" t="n">
        <v>3</v>
      </c>
      <c r="F19" s="6" t="s">
        <v>37</v>
      </c>
      <c r="G19" s="5" t="s">
        <v>82</v>
      </c>
      <c r="H19" s="5" t="s">
        <v>83</v>
      </c>
      <c r="I19" s="5" t="s">
        <v>29</v>
      </c>
      <c r="J19" s="6" t="s">
        <v>20</v>
      </c>
    </row>
    <row r="20" customFormat="false" ht="23.85" hidden="false" customHeight="false" outlineLevel="0" collapsed="false">
      <c r="A20" s="4" t="s">
        <v>84</v>
      </c>
      <c r="B20" s="5" t="s">
        <v>85</v>
      </c>
      <c r="C20" s="5" t="s">
        <v>86</v>
      </c>
      <c r="D20" s="6" t="s">
        <v>15</v>
      </c>
      <c r="E20" s="6" t="n">
        <v>3</v>
      </c>
      <c r="F20" s="6" t="s">
        <v>47</v>
      </c>
      <c r="G20" s="5" t="s">
        <v>87</v>
      </c>
      <c r="H20" s="5" t="s">
        <v>88</v>
      </c>
      <c r="I20" s="5" t="s">
        <v>89</v>
      </c>
      <c r="J20" s="6" t="s">
        <v>20</v>
      </c>
    </row>
    <row r="21" customFormat="false" ht="23.85" hidden="false" customHeight="false" outlineLevel="0" collapsed="false">
      <c r="A21" s="4" t="s">
        <v>90</v>
      </c>
      <c r="B21" s="5" t="s">
        <v>85</v>
      </c>
      <c r="C21" s="5" t="s">
        <v>91</v>
      </c>
      <c r="D21" s="6" t="s">
        <v>15</v>
      </c>
      <c r="E21" s="6" t="n">
        <v>3</v>
      </c>
      <c r="F21" s="6" t="s">
        <v>47</v>
      </c>
      <c r="G21" s="5" t="s">
        <v>92</v>
      </c>
      <c r="H21" s="5" t="s">
        <v>93</v>
      </c>
      <c r="I21" s="5" t="s">
        <v>89</v>
      </c>
      <c r="J21" s="6" t="s">
        <v>20</v>
      </c>
    </row>
    <row r="22" customFormat="false" ht="23.85" hidden="false" customHeight="false" outlineLevel="0" collapsed="false">
      <c r="A22" s="4" t="s">
        <v>94</v>
      </c>
      <c r="B22" s="5" t="s">
        <v>85</v>
      </c>
      <c r="C22" s="5" t="s">
        <v>95</v>
      </c>
      <c r="D22" s="6" t="s">
        <v>15</v>
      </c>
      <c r="E22" s="6" t="n">
        <v>5</v>
      </c>
      <c r="F22" s="6" t="s">
        <v>47</v>
      </c>
      <c r="G22" s="5" t="s">
        <v>96</v>
      </c>
      <c r="H22" s="5" t="s">
        <v>97</v>
      </c>
      <c r="I22" s="5" t="s">
        <v>89</v>
      </c>
      <c r="J22" s="6" t="s">
        <v>20</v>
      </c>
    </row>
    <row r="23" customFormat="false" ht="23.85" hidden="false" customHeight="false" outlineLevel="0" collapsed="false">
      <c r="A23" s="4" t="s">
        <v>98</v>
      </c>
      <c r="B23" s="5" t="s">
        <v>85</v>
      </c>
      <c r="C23" s="5" t="s">
        <v>99</v>
      </c>
      <c r="D23" s="6" t="s">
        <v>15</v>
      </c>
      <c r="E23" s="6" t="n">
        <v>3</v>
      </c>
      <c r="F23" s="6" t="s">
        <v>47</v>
      </c>
      <c r="G23" s="5" t="s">
        <v>100</v>
      </c>
      <c r="H23" s="5" t="s">
        <v>101</v>
      </c>
      <c r="I23" s="5" t="s">
        <v>102</v>
      </c>
      <c r="J23" s="6" t="s">
        <v>20</v>
      </c>
    </row>
    <row r="24" customFormat="false" ht="23.85" hidden="false" customHeight="false" outlineLevel="0" collapsed="false">
      <c r="A24" s="4" t="s">
        <v>103</v>
      </c>
      <c r="B24" s="5" t="s">
        <v>104</v>
      </c>
      <c r="C24" s="5" t="s">
        <v>105</v>
      </c>
      <c r="D24" s="6" t="s">
        <v>15</v>
      </c>
      <c r="E24" s="6" t="n">
        <v>5</v>
      </c>
      <c r="F24" s="6" t="s">
        <v>47</v>
      </c>
      <c r="G24" s="5" t="s">
        <v>106</v>
      </c>
      <c r="H24" s="5" t="s">
        <v>107</v>
      </c>
      <c r="I24" s="5" t="s">
        <v>89</v>
      </c>
      <c r="J24" s="6" t="s">
        <v>20</v>
      </c>
    </row>
    <row r="25" customFormat="false" ht="23.85" hidden="false" customHeight="false" outlineLevel="0" collapsed="false">
      <c r="A25" s="4" t="s">
        <v>108</v>
      </c>
      <c r="B25" s="5" t="s">
        <v>104</v>
      </c>
      <c r="C25" s="5" t="s">
        <v>109</v>
      </c>
      <c r="D25" s="6" t="s">
        <v>15</v>
      </c>
      <c r="E25" s="6" t="n">
        <v>5</v>
      </c>
      <c r="F25" s="6" t="s">
        <v>47</v>
      </c>
      <c r="G25" s="5" t="s">
        <v>110</v>
      </c>
      <c r="H25" s="5" t="s">
        <v>111</v>
      </c>
      <c r="I25" s="5" t="s">
        <v>112</v>
      </c>
      <c r="J25" s="6" t="s">
        <v>20</v>
      </c>
    </row>
    <row r="26" customFormat="false" ht="23.85" hidden="false" customHeight="false" outlineLevel="0" collapsed="false">
      <c r="A26" s="4" t="s">
        <v>113</v>
      </c>
      <c r="B26" s="5" t="s">
        <v>104</v>
      </c>
      <c r="C26" s="5" t="s">
        <v>114</v>
      </c>
      <c r="D26" s="6" t="s">
        <v>15</v>
      </c>
      <c r="E26" s="6" t="n">
        <v>3</v>
      </c>
      <c r="F26" s="6" t="s">
        <v>47</v>
      </c>
      <c r="G26" s="5" t="s">
        <v>115</v>
      </c>
      <c r="H26" s="5" t="s">
        <v>116</v>
      </c>
      <c r="I26" s="5" t="s">
        <v>89</v>
      </c>
      <c r="J26" s="6" t="s">
        <v>20</v>
      </c>
    </row>
    <row r="27" customFormat="false" ht="23.85" hidden="false" customHeight="false" outlineLevel="0" collapsed="false">
      <c r="A27" s="4" t="s">
        <v>117</v>
      </c>
      <c r="B27" s="5" t="s">
        <v>104</v>
      </c>
      <c r="C27" s="5" t="s">
        <v>118</v>
      </c>
      <c r="D27" s="6" t="s">
        <v>15</v>
      </c>
      <c r="E27" s="6" t="n">
        <v>3</v>
      </c>
      <c r="F27" s="6" t="s">
        <v>47</v>
      </c>
      <c r="G27" s="5" t="s">
        <v>119</v>
      </c>
      <c r="H27" s="5" t="s">
        <v>120</v>
      </c>
      <c r="I27" s="5" t="s">
        <v>89</v>
      </c>
      <c r="J27" s="6" t="s">
        <v>20</v>
      </c>
    </row>
    <row r="28" customFormat="false" ht="23.85" hidden="false" customHeight="false" outlineLevel="0" collapsed="false">
      <c r="A28" s="4" t="s">
        <v>121</v>
      </c>
      <c r="B28" s="5" t="s">
        <v>104</v>
      </c>
      <c r="C28" s="5" t="s">
        <v>122</v>
      </c>
      <c r="D28" s="6" t="s">
        <v>36</v>
      </c>
      <c r="E28" s="6" t="n">
        <v>1</v>
      </c>
      <c r="F28" s="6" t="s">
        <v>37</v>
      </c>
      <c r="G28" s="5" t="s">
        <v>123</v>
      </c>
      <c r="H28" s="5" t="s">
        <v>124</v>
      </c>
      <c r="I28" s="5" t="s">
        <v>102</v>
      </c>
      <c r="J28" s="6" t="s">
        <v>20</v>
      </c>
    </row>
    <row r="29" customFormat="false" ht="23.85" hidden="false" customHeight="false" outlineLevel="0" collapsed="false">
      <c r="A29" s="4" t="s">
        <v>125</v>
      </c>
      <c r="B29" s="5" t="s">
        <v>126</v>
      </c>
      <c r="C29" s="5" t="s">
        <v>127</v>
      </c>
      <c r="D29" s="6" t="s">
        <v>15</v>
      </c>
      <c r="E29" s="6" t="n">
        <v>5</v>
      </c>
      <c r="F29" s="6" t="s">
        <v>65</v>
      </c>
      <c r="G29" s="5" t="s">
        <v>128</v>
      </c>
      <c r="H29" s="5" t="s">
        <v>129</v>
      </c>
      <c r="I29" s="5" t="s">
        <v>102</v>
      </c>
      <c r="J29" s="6" t="s">
        <v>20</v>
      </c>
    </row>
    <row r="30" customFormat="false" ht="15" hidden="false" customHeight="false" outlineLevel="0" collapsed="false">
      <c r="A30" s="4" t="s">
        <v>130</v>
      </c>
      <c r="B30" s="5" t="s">
        <v>126</v>
      </c>
      <c r="C30" s="5" t="s">
        <v>131</v>
      </c>
      <c r="D30" s="6" t="s">
        <v>36</v>
      </c>
      <c r="E30" s="6" t="n">
        <v>2</v>
      </c>
      <c r="F30" s="6" t="s">
        <v>37</v>
      </c>
      <c r="G30" s="5" t="s">
        <v>132</v>
      </c>
      <c r="H30" s="5" t="s">
        <v>133</v>
      </c>
      <c r="I30" s="5" t="s">
        <v>102</v>
      </c>
      <c r="J30" s="6" t="s">
        <v>20</v>
      </c>
    </row>
    <row r="31" customFormat="false" ht="23.85" hidden="false" customHeight="false" outlineLevel="0" collapsed="false">
      <c r="A31" s="4" t="s">
        <v>134</v>
      </c>
      <c r="B31" s="5" t="s">
        <v>126</v>
      </c>
      <c r="C31" s="5" t="s">
        <v>135</v>
      </c>
      <c r="D31" s="6" t="s">
        <v>136</v>
      </c>
      <c r="E31" s="6" t="n">
        <v>2</v>
      </c>
      <c r="F31" s="6" t="s">
        <v>37</v>
      </c>
      <c r="G31" s="5" t="s">
        <v>137</v>
      </c>
      <c r="H31" s="5" t="s">
        <v>138</v>
      </c>
      <c r="I31" s="5" t="s">
        <v>102</v>
      </c>
      <c r="J31" s="6" t="s">
        <v>20</v>
      </c>
    </row>
    <row r="32" customFormat="false" ht="23.85" hidden="false" customHeight="false" outlineLevel="0" collapsed="false">
      <c r="A32" s="4" t="s">
        <v>139</v>
      </c>
      <c r="B32" s="5" t="s">
        <v>140</v>
      </c>
      <c r="C32" s="5" t="s">
        <v>141</v>
      </c>
      <c r="D32" s="6" t="s">
        <v>15</v>
      </c>
      <c r="E32" s="6" t="n">
        <v>3</v>
      </c>
      <c r="F32" s="6" t="s">
        <v>65</v>
      </c>
      <c r="G32" s="5" t="s">
        <v>142</v>
      </c>
      <c r="H32" s="5" t="s">
        <v>143</v>
      </c>
      <c r="I32" s="5" t="s">
        <v>19</v>
      </c>
      <c r="J32" s="6" t="s">
        <v>20</v>
      </c>
    </row>
    <row r="33" customFormat="false" ht="23.85" hidden="false" customHeight="false" outlineLevel="0" collapsed="false">
      <c r="A33" s="4" t="s">
        <v>144</v>
      </c>
      <c r="B33" s="5" t="s">
        <v>140</v>
      </c>
      <c r="C33" s="5" t="s">
        <v>145</v>
      </c>
      <c r="D33" s="6" t="s">
        <v>15</v>
      </c>
      <c r="E33" s="6" t="n">
        <v>5</v>
      </c>
      <c r="F33" s="6" t="s">
        <v>65</v>
      </c>
      <c r="G33" s="5" t="s">
        <v>146</v>
      </c>
      <c r="H33" s="5" t="s">
        <v>147</v>
      </c>
      <c r="I33" s="5" t="s">
        <v>29</v>
      </c>
      <c r="J33" s="6" t="s">
        <v>20</v>
      </c>
    </row>
    <row r="34" customFormat="false" ht="23.85" hidden="false" customHeight="false" outlineLevel="0" collapsed="false">
      <c r="A34" s="4" t="s">
        <v>148</v>
      </c>
      <c r="B34" s="5" t="s">
        <v>140</v>
      </c>
      <c r="C34" s="5" t="s">
        <v>149</v>
      </c>
      <c r="D34" s="6" t="s">
        <v>15</v>
      </c>
      <c r="E34" s="6" t="n">
        <v>3</v>
      </c>
      <c r="F34" s="6" t="s">
        <v>65</v>
      </c>
      <c r="G34" s="5" t="s">
        <v>150</v>
      </c>
      <c r="H34" s="5" t="s">
        <v>151</v>
      </c>
      <c r="I34" s="5" t="s">
        <v>19</v>
      </c>
      <c r="J34" s="6" t="s">
        <v>20</v>
      </c>
    </row>
    <row r="35" customFormat="false" ht="23.85" hidden="false" customHeight="false" outlineLevel="0" collapsed="false">
      <c r="A35" s="4" t="s">
        <v>152</v>
      </c>
      <c r="B35" s="5" t="s">
        <v>140</v>
      </c>
      <c r="C35" s="5" t="s">
        <v>153</v>
      </c>
      <c r="D35" s="6" t="s">
        <v>36</v>
      </c>
      <c r="E35" s="6" t="n">
        <v>3</v>
      </c>
      <c r="F35" s="6" t="s">
        <v>37</v>
      </c>
      <c r="G35" s="5" t="s">
        <v>154</v>
      </c>
      <c r="H35" s="5" t="s">
        <v>155</v>
      </c>
      <c r="I35" s="5" t="s">
        <v>29</v>
      </c>
      <c r="J35" s="6" t="s">
        <v>20</v>
      </c>
    </row>
    <row r="36" customFormat="false" ht="15" hidden="false" customHeight="false" outlineLevel="0" collapsed="false">
      <c r="A36" s="4" t="s">
        <v>156</v>
      </c>
      <c r="B36" s="5" t="s">
        <v>140</v>
      </c>
      <c r="C36" s="5" t="s">
        <v>157</v>
      </c>
      <c r="D36" s="6" t="s">
        <v>136</v>
      </c>
      <c r="E36" s="6" t="n">
        <v>3</v>
      </c>
      <c r="F36" s="6" t="s">
        <v>37</v>
      </c>
      <c r="G36" s="5" t="s">
        <v>158</v>
      </c>
      <c r="H36" s="5" t="s">
        <v>159</v>
      </c>
      <c r="I36" s="5" t="s">
        <v>29</v>
      </c>
      <c r="J36" s="6" t="s">
        <v>20</v>
      </c>
    </row>
    <row r="37" customFormat="false" ht="23.85" hidden="false" customHeight="false" outlineLevel="0" collapsed="false">
      <c r="A37" s="4" t="s">
        <v>160</v>
      </c>
      <c r="B37" s="5" t="s">
        <v>161</v>
      </c>
      <c r="C37" s="5" t="s">
        <v>162</v>
      </c>
      <c r="D37" s="6" t="s">
        <v>15</v>
      </c>
      <c r="E37" s="6" t="n">
        <v>3</v>
      </c>
      <c r="F37" s="6" t="s">
        <v>65</v>
      </c>
      <c r="G37" s="5" t="s">
        <v>163</v>
      </c>
      <c r="H37" s="5" t="s">
        <v>164</v>
      </c>
      <c r="I37" s="5" t="s">
        <v>19</v>
      </c>
      <c r="J37" s="6" t="s">
        <v>20</v>
      </c>
    </row>
    <row r="38" customFormat="false" ht="23.85" hidden="false" customHeight="false" outlineLevel="0" collapsed="false">
      <c r="A38" s="4" t="s">
        <v>165</v>
      </c>
      <c r="B38" s="5" t="s">
        <v>161</v>
      </c>
      <c r="C38" s="5" t="s">
        <v>166</v>
      </c>
      <c r="D38" s="6" t="s">
        <v>15</v>
      </c>
      <c r="E38" s="6" t="n">
        <v>3</v>
      </c>
      <c r="F38" s="6" t="s">
        <v>65</v>
      </c>
      <c r="G38" s="5" t="s">
        <v>167</v>
      </c>
      <c r="H38" s="5" t="s">
        <v>168</v>
      </c>
      <c r="I38" s="5" t="s">
        <v>19</v>
      </c>
      <c r="J38" s="6" t="s">
        <v>20</v>
      </c>
    </row>
    <row r="39" customFormat="false" ht="15" hidden="false" customHeight="false" outlineLevel="0" collapsed="false">
      <c r="A39" s="4" t="s">
        <v>169</v>
      </c>
      <c r="B39" s="5" t="s">
        <v>161</v>
      </c>
      <c r="C39" s="5" t="s">
        <v>170</v>
      </c>
      <c r="D39" s="6" t="s">
        <v>15</v>
      </c>
      <c r="E39" s="6" t="n">
        <v>3</v>
      </c>
      <c r="F39" s="6" t="s">
        <v>65</v>
      </c>
      <c r="G39" s="5" t="s">
        <v>171</v>
      </c>
      <c r="H39" s="5" t="s">
        <v>172</v>
      </c>
      <c r="I39" s="5" t="s">
        <v>29</v>
      </c>
      <c r="J39" s="6" t="s">
        <v>20</v>
      </c>
    </row>
    <row r="40" customFormat="false" ht="15" hidden="false" customHeight="false" outlineLevel="0" collapsed="false">
      <c r="A40" s="4" t="s">
        <v>173</v>
      </c>
      <c r="B40" s="5" t="s">
        <v>161</v>
      </c>
      <c r="C40" s="5" t="s">
        <v>174</v>
      </c>
      <c r="D40" s="6" t="s">
        <v>36</v>
      </c>
      <c r="E40" s="6" t="n">
        <v>3</v>
      </c>
      <c r="F40" s="6" t="s">
        <v>37</v>
      </c>
      <c r="G40" s="5" t="s">
        <v>175</v>
      </c>
      <c r="H40" s="5" t="s">
        <v>176</v>
      </c>
      <c r="I40" s="5" t="s">
        <v>19</v>
      </c>
      <c r="J40" s="6" t="s">
        <v>20</v>
      </c>
    </row>
    <row r="41" customFormat="false" ht="23.85" hidden="false" customHeight="false" outlineLevel="0" collapsed="false">
      <c r="A41" s="4" t="s">
        <v>177</v>
      </c>
      <c r="B41" s="5" t="s">
        <v>178</v>
      </c>
      <c r="C41" s="5" t="s">
        <v>179</v>
      </c>
      <c r="D41" s="6" t="s">
        <v>15</v>
      </c>
      <c r="E41" s="6" t="n">
        <v>3</v>
      </c>
      <c r="F41" s="6" t="s">
        <v>16</v>
      </c>
      <c r="G41" s="5" t="s">
        <v>180</v>
      </c>
      <c r="H41" s="5" t="s">
        <v>181</v>
      </c>
      <c r="I41" s="5" t="s">
        <v>29</v>
      </c>
      <c r="J41" s="6" t="s">
        <v>20</v>
      </c>
    </row>
    <row r="42" customFormat="false" ht="23.85" hidden="false" customHeight="false" outlineLevel="0" collapsed="false">
      <c r="A42" s="4" t="s">
        <v>182</v>
      </c>
      <c r="B42" s="5" t="s">
        <v>178</v>
      </c>
      <c r="C42" s="5" t="s">
        <v>183</v>
      </c>
      <c r="D42" s="6" t="s">
        <v>15</v>
      </c>
      <c r="E42" s="6" t="n">
        <v>3</v>
      </c>
      <c r="F42" s="6" t="s">
        <v>16</v>
      </c>
      <c r="G42" s="5" t="s">
        <v>184</v>
      </c>
      <c r="H42" s="5" t="s">
        <v>185</v>
      </c>
      <c r="I42" s="5" t="s">
        <v>29</v>
      </c>
      <c r="J42" s="6" t="s">
        <v>20</v>
      </c>
    </row>
    <row r="43" customFormat="false" ht="23.85" hidden="false" customHeight="false" outlineLevel="0" collapsed="false">
      <c r="A43" s="4" t="s">
        <v>186</v>
      </c>
      <c r="B43" s="5" t="s">
        <v>178</v>
      </c>
      <c r="C43" s="5" t="s">
        <v>187</v>
      </c>
      <c r="D43" s="6" t="s">
        <v>36</v>
      </c>
      <c r="E43" s="6" t="n">
        <v>2</v>
      </c>
      <c r="F43" s="6" t="s">
        <v>37</v>
      </c>
      <c r="G43" s="5" t="s">
        <v>188</v>
      </c>
      <c r="H43" s="5" t="s">
        <v>189</v>
      </c>
      <c r="I43" s="5" t="s">
        <v>29</v>
      </c>
      <c r="J43" s="6" t="s">
        <v>20</v>
      </c>
    </row>
    <row r="44" customFormat="false" ht="15" hidden="false" customHeight="false" outlineLevel="0" collapsed="false">
      <c r="A44" s="4" t="s">
        <v>190</v>
      </c>
      <c r="B44" s="5" t="s">
        <v>178</v>
      </c>
      <c r="C44" s="5" t="s">
        <v>191</v>
      </c>
      <c r="D44" s="6" t="s">
        <v>36</v>
      </c>
      <c r="E44" s="6" t="n">
        <v>3</v>
      </c>
      <c r="F44" s="6" t="s">
        <v>37</v>
      </c>
      <c r="G44" s="5" t="s">
        <v>192</v>
      </c>
      <c r="H44" s="5" t="s">
        <v>193</v>
      </c>
      <c r="I44" s="5" t="s">
        <v>19</v>
      </c>
      <c r="J44" s="6" t="s">
        <v>20</v>
      </c>
    </row>
    <row r="45" customFormat="false" ht="15" hidden="false" customHeight="false" outlineLevel="0" collapsed="false">
      <c r="A45" s="4" t="s">
        <v>194</v>
      </c>
      <c r="B45" s="5" t="s">
        <v>195</v>
      </c>
      <c r="C45" s="5" t="s">
        <v>196</v>
      </c>
      <c r="D45" s="6" t="s">
        <v>136</v>
      </c>
      <c r="E45" s="6" t="n">
        <v>3</v>
      </c>
      <c r="F45" s="6" t="s">
        <v>37</v>
      </c>
      <c r="G45" s="5" t="s">
        <v>197</v>
      </c>
      <c r="H45" s="5" t="s">
        <v>198</v>
      </c>
      <c r="I45" s="5" t="s">
        <v>89</v>
      </c>
      <c r="J45" s="6" t="s">
        <v>20</v>
      </c>
    </row>
    <row r="46" customFormat="false" ht="23.85" hidden="false" customHeight="false" outlineLevel="0" collapsed="false">
      <c r="A46" s="4" t="s">
        <v>199</v>
      </c>
      <c r="B46" s="5" t="s">
        <v>195</v>
      </c>
      <c r="C46" s="5" t="s">
        <v>200</v>
      </c>
      <c r="D46" s="6" t="s">
        <v>136</v>
      </c>
      <c r="E46" s="6" t="n">
        <v>5</v>
      </c>
      <c r="F46" s="6" t="s">
        <v>37</v>
      </c>
      <c r="G46" s="5" t="s">
        <v>201</v>
      </c>
      <c r="H46" s="5" t="s">
        <v>202</v>
      </c>
      <c r="I46" s="5" t="s">
        <v>89</v>
      </c>
      <c r="J46" s="6" t="s">
        <v>20</v>
      </c>
    </row>
    <row r="47" customFormat="false" ht="35.05" hidden="false" customHeight="false" outlineLevel="0" collapsed="false">
      <c r="A47" s="4" t="s">
        <v>203</v>
      </c>
      <c r="B47" s="5" t="s">
        <v>204</v>
      </c>
      <c r="C47" s="5" t="s">
        <v>205</v>
      </c>
      <c r="D47" s="6" t="s">
        <v>15</v>
      </c>
      <c r="E47" s="6" t="n">
        <v>5</v>
      </c>
      <c r="F47" s="6" t="s">
        <v>16</v>
      </c>
      <c r="G47" s="5" t="s">
        <v>206</v>
      </c>
      <c r="H47" s="5" t="s">
        <v>207</v>
      </c>
      <c r="I47" s="5" t="s">
        <v>112</v>
      </c>
      <c r="J47" s="6" t="s">
        <v>20</v>
      </c>
    </row>
    <row r="48" customFormat="false" ht="23.85" hidden="false" customHeight="false" outlineLevel="0" collapsed="false">
      <c r="A48" s="4" t="s">
        <v>208</v>
      </c>
      <c r="B48" s="5" t="s">
        <v>204</v>
      </c>
      <c r="C48" s="5" t="s">
        <v>209</v>
      </c>
      <c r="D48" s="6" t="s">
        <v>15</v>
      </c>
      <c r="E48" s="6" t="n">
        <v>3</v>
      </c>
      <c r="F48" s="6" t="s">
        <v>47</v>
      </c>
      <c r="G48" s="5" t="s">
        <v>210</v>
      </c>
      <c r="H48" s="5" t="s">
        <v>211</v>
      </c>
      <c r="I48" s="5" t="s">
        <v>19</v>
      </c>
      <c r="J48" s="6" t="s">
        <v>20</v>
      </c>
    </row>
    <row r="49" customFormat="false" ht="23.85" hidden="false" customHeight="false" outlineLevel="0" collapsed="false">
      <c r="A49" s="4" t="s">
        <v>212</v>
      </c>
      <c r="B49" s="5" t="s">
        <v>204</v>
      </c>
      <c r="C49" s="5" t="s">
        <v>213</v>
      </c>
      <c r="D49" s="6" t="s">
        <v>15</v>
      </c>
      <c r="E49" s="6" t="n">
        <v>3</v>
      </c>
      <c r="F49" s="6" t="s">
        <v>47</v>
      </c>
      <c r="G49" s="5" t="s">
        <v>214</v>
      </c>
      <c r="H49" s="5" t="s">
        <v>215</v>
      </c>
      <c r="I49" s="5" t="s">
        <v>102</v>
      </c>
      <c r="J49" s="6" t="s">
        <v>20</v>
      </c>
    </row>
    <row r="50" customFormat="false" ht="23.85" hidden="false" customHeight="false" outlineLevel="0" collapsed="false">
      <c r="A50" s="4" t="s">
        <v>216</v>
      </c>
      <c r="B50" s="5" t="s">
        <v>204</v>
      </c>
      <c r="C50" s="5" t="s">
        <v>217</v>
      </c>
      <c r="D50" s="6" t="s">
        <v>36</v>
      </c>
      <c r="E50" s="6" t="n">
        <v>2</v>
      </c>
      <c r="F50" s="6" t="s">
        <v>37</v>
      </c>
      <c r="G50" s="5" t="s">
        <v>218</v>
      </c>
      <c r="H50" s="5" t="s">
        <v>219</v>
      </c>
      <c r="I50" s="5" t="s">
        <v>220</v>
      </c>
      <c r="J50" s="6" t="s">
        <v>20</v>
      </c>
    </row>
  </sheetData>
  <autoFilter ref="A4:J50"/>
  <conditionalFormatting sqref="D5:D50">
    <cfRule type="cellIs" priority="2" operator="equal" aboveAverage="0" equalAverage="0" bottom="0" percent="0" rank="0" text="" dxfId="7">
      <formula>"Must"</formula>
    </cfRule>
    <cfRule type="cellIs" priority="3" operator="equal" aboveAverage="0" equalAverage="0" bottom="0" percent="0" rank="0" text="" dxfId="8">
      <formula>"Should"</formula>
    </cfRule>
    <cfRule type="cellIs" priority="4" operator="equal" aboveAverage="0" equalAverage="0" bottom="0" percent="0" rank="0" text="" dxfId="9">
      <formula>"Could"</formula>
    </cfRule>
  </conditionalFormatting>
  <dataValidations count="3">
    <dataValidation allowBlank="false" errorStyle="stop" operator="between" showDropDown="false" showErrorMessage="false" showInputMessage="false" sqref="D5:D50" type="list">
      <formula1>"Must,Should,Could,Won't"</formula1>
      <formula2>0</formula2>
    </dataValidation>
    <dataValidation allowBlank="false" errorStyle="stop" operator="between" showDropDown="false" showErrorMessage="false" showInputMessage="false" sqref="F5:F50" type="list">
      <formula1>"Sprint 1,Sprint 2,Sprint 3,Buffer / Backlog"</formula1>
      <formula2>0</formula2>
    </dataValidation>
    <dataValidation allowBlank="false" errorStyle="stop" operator="between" showDropDown="false" showErrorMessage="false" showInputMessage="false" sqref="J5:J50" type="list">
      <formula1>"To Do,In Progress,Review,Done"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221</v>
      </c>
    </row>
    <row r="3" customFormat="false" ht="23.85" hidden="false" customHeight="false" outlineLevel="0" collapsed="false">
      <c r="A3" s="7" t="s">
        <v>222</v>
      </c>
      <c r="B3" s="7" t="s">
        <v>223</v>
      </c>
      <c r="C3" s="7" t="s">
        <v>224</v>
      </c>
      <c r="D3" s="7" t="s">
        <v>225</v>
      </c>
    </row>
    <row r="4" customFormat="false" ht="15" hidden="false" customHeight="false" outlineLevel="0" collapsed="false">
      <c r="A4" s="8" t="s">
        <v>15</v>
      </c>
      <c r="B4" s="9" t="n">
        <f aca="false">COUNTIF('Product Backlog'!$D$5:$D$50,A4)</f>
        <v>29</v>
      </c>
      <c r="C4" s="9" t="n">
        <f aca="false">SUMIF('Product Backlog'!$D$5:$D$50,A4,'Product Backlog'!$E$5:$E$50)</f>
        <v>107</v>
      </c>
      <c r="D4" s="10" t="n">
        <f aca="false">IF($C$7=0,0,C4/$C$7)</f>
        <v>0.713333333333333</v>
      </c>
    </row>
    <row r="5" customFormat="false" ht="15" hidden="false" customHeight="false" outlineLevel="0" collapsed="false">
      <c r="A5" s="8" t="s">
        <v>36</v>
      </c>
      <c r="B5" s="9" t="n">
        <f aca="false">COUNTIF('Product Backlog'!$D$5:$D$50,A5)</f>
        <v>13</v>
      </c>
      <c r="C5" s="9" t="n">
        <f aca="false">SUMIF('Product Backlog'!$D$5:$D$50,A5,'Product Backlog'!$E$5:$E$50)</f>
        <v>30</v>
      </c>
      <c r="D5" s="10" t="n">
        <f aca="false">IF($C$7=0,0,C5/$C$7)</f>
        <v>0.2</v>
      </c>
    </row>
    <row r="6" customFormat="false" ht="15" hidden="false" customHeight="false" outlineLevel="0" collapsed="false">
      <c r="A6" s="8" t="s">
        <v>136</v>
      </c>
      <c r="B6" s="9" t="n">
        <f aca="false">COUNTIF('Product Backlog'!$D$5:$D$50,A6)</f>
        <v>4</v>
      </c>
      <c r="C6" s="9" t="n">
        <f aca="false">SUMIF('Product Backlog'!$D$5:$D$50,A6,'Product Backlog'!$E$5:$E$50)</f>
        <v>13</v>
      </c>
      <c r="D6" s="10" t="n">
        <f aca="false">IF($C$7=0,0,C6/$C$7)</f>
        <v>0.0866666666666667</v>
      </c>
    </row>
    <row r="7" customFormat="false" ht="15" hidden="false" customHeight="false" outlineLevel="0" collapsed="false">
      <c r="A7" s="11" t="s">
        <v>226</v>
      </c>
      <c r="B7" s="12" t="n">
        <f aca="false">SUM(B4:B6)</f>
        <v>46</v>
      </c>
      <c r="C7" s="12" t="n">
        <f aca="false">SUM(C4:C6)</f>
        <v>150</v>
      </c>
      <c r="D7" s="13" t="n">
        <f aca="false">SUM(D4:D6)</f>
        <v>1</v>
      </c>
    </row>
    <row r="10" customFormat="false" ht="23.85" hidden="false" customHeight="false" outlineLevel="0" collapsed="false">
      <c r="A10" s="7" t="s">
        <v>7</v>
      </c>
      <c r="B10" s="7" t="s">
        <v>223</v>
      </c>
      <c r="C10" s="7" t="s">
        <v>224</v>
      </c>
      <c r="D10" s="7" t="s">
        <v>227</v>
      </c>
      <c r="E10" s="7" t="s">
        <v>228</v>
      </c>
      <c r="F10" s="7" t="s">
        <v>229</v>
      </c>
    </row>
    <row r="11" customFormat="false" ht="15" hidden="false" customHeight="false" outlineLevel="0" collapsed="false">
      <c r="A11" s="8" t="s">
        <v>16</v>
      </c>
      <c r="B11" s="9" t="n">
        <f aca="false">COUNTIF('Product Backlog'!$F$5:$F$50,A11)</f>
        <v>8</v>
      </c>
      <c r="C11" s="9" t="n">
        <f aca="false">SUMIF('Product Backlog'!$F$5:$F$50,A11,'Product Backlog'!$E$5:$E$50)</f>
        <v>28</v>
      </c>
      <c r="D11" s="9" t="n">
        <f aca="false">SUMIFS('Product Backlog'!$E$5:$E$50,'Product Backlog'!$F$5:$F$50,A11,'Product Backlog'!$D$5:$D$50,"Must")</f>
        <v>28</v>
      </c>
      <c r="E11" s="9" t="n">
        <v>2</v>
      </c>
      <c r="F11" s="14" t="n">
        <f aca="false">IF(E11=0,0,C11/E11)</f>
        <v>14</v>
      </c>
    </row>
    <row r="12" customFormat="false" ht="15" hidden="false" customHeight="false" outlineLevel="0" collapsed="false">
      <c r="A12" s="8" t="s">
        <v>47</v>
      </c>
      <c r="B12" s="9" t="n">
        <f aca="false">COUNTIF('Product Backlog'!$F$5:$F$50,A12)</f>
        <v>13</v>
      </c>
      <c r="C12" s="9" t="n">
        <f aca="false">SUMIF('Product Backlog'!$F$5:$F$50,A12,'Product Backlog'!$E$5:$E$50)</f>
        <v>51</v>
      </c>
      <c r="D12" s="9" t="n">
        <f aca="false">SUMIFS('Product Backlog'!$E$5:$E$50,'Product Backlog'!$F$5:$F$50,A12,'Product Backlog'!$D$5:$D$50,"Must")</f>
        <v>51</v>
      </c>
      <c r="E12" s="9" t="n">
        <v>1</v>
      </c>
      <c r="F12" s="14" t="n">
        <f aca="false">IF(E12=0,0,C12/E12)</f>
        <v>51</v>
      </c>
    </row>
    <row r="13" customFormat="false" ht="15" hidden="false" customHeight="false" outlineLevel="0" collapsed="false">
      <c r="A13" s="8" t="s">
        <v>65</v>
      </c>
      <c r="B13" s="9" t="n">
        <f aca="false">COUNTIF('Product Backlog'!$F$5:$F$50,A13)</f>
        <v>8</v>
      </c>
      <c r="C13" s="9" t="n">
        <f aca="false">SUMIF('Product Backlog'!$F$5:$F$50,A13,'Product Backlog'!$E$5:$E$50)</f>
        <v>28</v>
      </c>
      <c r="D13" s="9" t="n">
        <f aca="false">SUMIFS('Product Backlog'!$E$5:$E$50,'Product Backlog'!$F$5:$F$50,A13,'Product Backlog'!$D$5:$D$50,"Must")</f>
        <v>28</v>
      </c>
      <c r="E13" s="9" t="n">
        <v>1</v>
      </c>
      <c r="F13" s="14" t="n">
        <f aca="false">IF(E13=0,0,C13/E13)</f>
        <v>28</v>
      </c>
    </row>
    <row r="14" customFormat="false" ht="15" hidden="false" customHeight="false" outlineLevel="0" collapsed="false">
      <c r="A14" s="8" t="s">
        <v>37</v>
      </c>
      <c r="B14" s="9" t="n">
        <f aca="false">COUNTIF('Product Backlog'!$F$5:$F$50,A14)</f>
        <v>17</v>
      </c>
      <c r="C14" s="9" t="n">
        <f aca="false">SUMIF('Product Backlog'!$F$5:$F$50,A14,'Product Backlog'!$E$5:$E$50)</f>
        <v>43</v>
      </c>
      <c r="D14" s="9" t="n">
        <f aca="false">SUMIFS('Product Backlog'!$E$5:$E$50,'Product Backlog'!$F$5:$F$50,A14,'Product Backlog'!$D$5:$D$50,"Must")</f>
        <v>0</v>
      </c>
      <c r="E14" s="9" t="s">
        <v>230</v>
      </c>
      <c r="F14" s="14" t="s">
        <v>230</v>
      </c>
    </row>
    <row r="15" customFormat="false" ht="15" hidden="false" customHeight="false" outlineLevel="0" collapsed="false">
      <c r="A15" s="11" t="s">
        <v>226</v>
      </c>
      <c r="B15" s="12" t="n">
        <f aca="false">SUM(B11:B14)</f>
        <v>46</v>
      </c>
      <c r="C15" s="12" t="n">
        <f aca="false">SUM(C11:C14)</f>
        <v>150</v>
      </c>
      <c r="D15" s="12" t="n">
        <f aca="false">SUM(D11:D14)</f>
        <v>107</v>
      </c>
    </row>
    <row r="18" customFormat="false" ht="15" hidden="false" customHeight="false" outlineLevel="0" collapsed="false">
      <c r="A18" s="7" t="s">
        <v>3</v>
      </c>
      <c r="B18" s="7" t="s">
        <v>223</v>
      </c>
      <c r="C18" s="7" t="s">
        <v>224</v>
      </c>
    </row>
    <row r="19" customFormat="false" ht="15" hidden="false" customHeight="false" outlineLevel="0" collapsed="false">
      <c r="A19" s="8" t="s">
        <v>13</v>
      </c>
      <c r="B19" s="9" t="n">
        <f aca="false">COUNTIF('Product Backlog'!$B$5:$B$50,A19)</f>
        <v>6</v>
      </c>
      <c r="C19" s="9" t="n">
        <f aca="false">SUMIF('Product Backlog'!$B$5:$B$50,A19,'Product Backlog'!$E$5:$E$50)</f>
        <v>19</v>
      </c>
    </row>
    <row r="20" customFormat="false" ht="15" hidden="false" customHeight="false" outlineLevel="0" collapsed="false">
      <c r="A20" s="8" t="s">
        <v>45</v>
      </c>
      <c r="B20" s="9" t="n">
        <f aca="false">COUNTIF('Product Backlog'!$B$5:$B$50,A20)</f>
        <v>5</v>
      </c>
      <c r="C20" s="9" t="n">
        <f aca="false">SUMIF('Product Backlog'!$B$5:$B$50,A20,'Product Backlog'!$E$5:$E$50)</f>
        <v>18</v>
      </c>
    </row>
    <row r="21" customFormat="false" ht="15" hidden="false" customHeight="false" outlineLevel="0" collapsed="false">
      <c r="A21" s="8" t="s">
        <v>59</v>
      </c>
      <c r="B21" s="9" t="n">
        <f aca="false">COUNTIF('Product Backlog'!$B$5:$B$50,A21)</f>
        <v>4</v>
      </c>
      <c r="C21" s="9" t="n">
        <f aca="false">SUMIF('Product Backlog'!$B$5:$B$50,A21,'Product Backlog'!$E$5:$E$50)</f>
        <v>12</v>
      </c>
    </row>
    <row r="22" customFormat="false" ht="15" hidden="false" customHeight="false" outlineLevel="0" collapsed="false">
      <c r="A22" s="8" t="s">
        <v>85</v>
      </c>
      <c r="B22" s="9" t="n">
        <f aca="false">COUNTIF('Product Backlog'!$B$5:$B$50,A22)</f>
        <v>4</v>
      </c>
      <c r="C22" s="9" t="n">
        <f aca="false">SUMIF('Product Backlog'!$B$5:$B$50,A22,'Product Backlog'!$E$5:$E$50)</f>
        <v>14</v>
      </c>
    </row>
    <row r="23" customFormat="false" ht="15" hidden="false" customHeight="false" outlineLevel="0" collapsed="false">
      <c r="A23" s="8" t="s">
        <v>104</v>
      </c>
      <c r="B23" s="9" t="n">
        <f aca="false">COUNTIF('Product Backlog'!$B$5:$B$50,A23)</f>
        <v>5</v>
      </c>
      <c r="C23" s="9" t="n">
        <f aca="false">SUMIF('Product Backlog'!$B$5:$B$50,A23,'Product Backlog'!$E$5:$E$50)</f>
        <v>17</v>
      </c>
    </row>
    <row r="24" customFormat="false" ht="15" hidden="false" customHeight="false" outlineLevel="0" collapsed="false">
      <c r="A24" s="8" t="s">
        <v>126</v>
      </c>
      <c r="B24" s="9" t="n">
        <f aca="false">COUNTIF('Product Backlog'!$B$5:$B$50,A24)</f>
        <v>3</v>
      </c>
      <c r="C24" s="9" t="n">
        <f aca="false">SUMIF('Product Backlog'!$B$5:$B$50,A24,'Product Backlog'!$E$5:$E$50)</f>
        <v>9</v>
      </c>
    </row>
    <row r="25" customFormat="false" ht="15" hidden="false" customHeight="false" outlineLevel="0" collapsed="false">
      <c r="A25" s="8" t="s">
        <v>140</v>
      </c>
      <c r="B25" s="9" t="n">
        <f aca="false">COUNTIF('Product Backlog'!$B$5:$B$50,A25)</f>
        <v>5</v>
      </c>
      <c r="C25" s="9" t="n">
        <f aca="false">SUMIF('Product Backlog'!$B$5:$B$50,A25,'Product Backlog'!$E$5:$E$50)</f>
        <v>17</v>
      </c>
    </row>
    <row r="26" customFormat="false" ht="15" hidden="false" customHeight="false" outlineLevel="0" collapsed="false">
      <c r="A26" s="8" t="s">
        <v>161</v>
      </c>
      <c r="B26" s="9" t="n">
        <f aca="false">COUNTIF('Product Backlog'!$B$5:$B$50,A26)</f>
        <v>4</v>
      </c>
      <c r="C26" s="9" t="n">
        <f aca="false">SUMIF('Product Backlog'!$B$5:$B$50,A26,'Product Backlog'!$E$5:$E$50)</f>
        <v>12</v>
      </c>
    </row>
    <row r="27" customFormat="false" ht="15" hidden="false" customHeight="false" outlineLevel="0" collapsed="false">
      <c r="A27" s="8" t="s">
        <v>178</v>
      </c>
      <c r="B27" s="9" t="n">
        <f aca="false">COUNTIF('Product Backlog'!$B$5:$B$50,A27)</f>
        <v>4</v>
      </c>
      <c r="C27" s="9" t="n">
        <f aca="false">SUMIF('Product Backlog'!$B$5:$B$50,A27,'Product Backlog'!$E$5:$E$50)</f>
        <v>11</v>
      </c>
    </row>
    <row r="28" customFormat="false" ht="15" hidden="false" customHeight="false" outlineLevel="0" collapsed="false">
      <c r="A28" s="8" t="s">
        <v>195</v>
      </c>
      <c r="B28" s="9" t="n">
        <f aca="false">COUNTIF('Product Backlog'!$B$5:$B$50,A28)</f>
        <v>2</v>
      </c>
      <c r="C28" s="9" t="n">
        <f aca="false">SUMIF('Product Backlog'!$B$5:$B$50,A28,'Product Backlog'!$E$5:$E$50)</f>
        <v>8</v>
      </c>
    </row>
    <row r="29" customFormat="false" ht="15" hidden="false" customHeight="false" outlineLevel="0" collapsed="false">
      <c r="A29" s="8" t="s">
        <v>204</v>
      </c>
      <c r="B29" s="9" t="n">
        <f aca="false">COUNTIF('Product Backlog'!$B$5:$B$50,A29)</f>
        <v>4</v>
      </c>
      <c r="C29" s="9" t="n">
        <f aca="false">SUMIF('Product Backlog'!$B$5:$B$50,A29,'Product Backlog'!$E$5:$E$50)</f>
        <v>13</v>
      </c>
    </row>
    <row r="30" customFormat="false" ht="15" hidden="false" customHeight="false" outlineLevel="0" collapsed="false">
      <c r="A30" s="11" t="s">
        <v>226</v>
      </c>
      <c r="B30" s="12" t="n">
        <f aca="false">SUM(B19:B29)</f>
        <v>46</v>
      </c>
      <c r="C30" s="12" t="n">
        <f aca="false">SUM(C19:C29)</f>
        <v>150</v>
      </c>
    </row>
    <row r="32" customFormat="false" ht="15" hidden="false" customHeight="false" outlineLevel="0" collapsed="false">
      <c r="A32" s="2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2026-10-05T01:54:40Z</dcterms:created>
  <dc:creator>openpyxl</dc:creator>
  <dc:description/>
  <dc:language>en-US</dc:language>
  <cp:lastModifiedBy/>
  <dcterms:modified xsi:type="dcterms:W3CDTF">2026-10-05T01:54:40Z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